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c25b9914c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3f9a0f388124ad3"/>
    <x:sheet xmlns:r="http://schemas.openxmlformats.org/officeDocument/2006/relationships" name="Questionnaire Draft" sheetId="2" r:id="R99b3d522e7704888"/>
    <x:sheet xmlns:r="http://schemas.openxmlformats.org/officeDocument/2006/relationships" name="Approved Answers" sheetId="3" r:id="Rf5c32bffb5a042aa"/>
    <x:sheet xmlns:r="http://schemas.openxmlformats.org/officeDocument/2006/relationships" name="Evidence Index" sheetId="4" r:id="R04171d917dea463d"/>
    <x:sheet xmlns:r="http://schemas.openxmlformats.org/officeDocument/2006/relationships" name="Gap Register" sheetId="5" r:id="R1de23c51b163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22"/>
      <x:color rgb="FFFFFFFF"/>
      <x:name val="Aptos Display"/>
    </x:font>
    <x:font>
      <x:sz val="10"/>
      <x:color rgb="FF1F4D78"/>
      <x:name val="Aptos"/>
    </x:font>
    <x:font>
      <x:b/>
      <x:sz val="10"/>
      <x:color rgb="FFFFFFFF"/>
      <x:name val="Aptos"/>
    </x:font>
    <x:font>
      <x:sz val="9"/>
      <x:name val="Carlito"/>
    </x:font>
    <x:font>
      <x:b/>
      <x:sz val="10"/>
      <x:color rgb="FF5B6573"/>
      <x:name val="Carlito"/>
    </x:font>
    <x:font>
      <x:b/>
      <x:sz val="24"/>
      <x:color rgb="FF0B2545"/>
      <x:name val="Carlito"/>
    </x:font>
    <x:font>
      <x:b/>
      <x:sz val="11"/>
      <x:color rgb="FFFFFFFF"/>
      <x:name val="Carlito"/>
    </x:font>
    <x:font>
      <x:sz val="11"/>
      <x:color rgb="FF1F4D78"/>
      <x:name val="Carlito"/>
    </x:font>
    <x:font>
      <x:sz val="10"/>
      <x:name val="Carlito"/>
    </x:font>
    <x:font>
      <x:b/>
      <x:sz val="22"/>
      <x:color rgb="FFFFFFFF"/>
      <x:name val="Aptos"/>
    </x:font>
    <x:font>
      <x:sz val="11"/>
      <x:name val="Aptos"/>
    </x:font>
    <x:font>
      <x:b/>
      <x:sz val="10"/>
      <x:color rgb="FF5B6573"/>
      <x:name val="Aptos"/>
    </x:font>
    <x:font>
      <x:b/>
      <x:sz val="24"/>
      <x:color rgb="FF0B2545"/>
      <x:name val="Aptos"/>
    </x:font>
    <x:font>
      <x:b/>
      <x:sz val="11"/>
      <x:color rgb="FFFFFFFF"/>
      <x:name val="Aptos"/>
    </x:font>
    <x:font>
      <x:sz val="11"/>
      <x:color rgb="FF1F4D78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12">
    <x:border/>
    <x:border>
      <x:left style="thin">
        <x:color rgb="FFD6DCE5"/>
      </x:left>
      <x:top style="thin">
        <x:color rgb="FFD6DCE5"/>
      </x:top>
      <x:bottom style="thin">
        <x:color rgb="FFD6DCE5"/>
      </x:bottom>
    </x:border>
    <x:border>
      <x:top style="thin">
        <x:color rgb="FFD6DCE5"/>
      </x:top>
      <x:bottom style="thin">
        <x:color rgb="FFD6DCE5"/>
      </x:bottom>
    </x:border>
    <x:border>
      <x:right style="thin">
        <x:color rgb="FFD6DCE5"/>
      </x:right>
      <x:top style="thin">
        <x:color rgb="FFD6DCE5"/>
      </x:top>
      <x:bottom style="thin">
        <x:color rgb="FFD6DCE5"/>
      </x:bottom>
    </x:border>
    <x:border>
      <x:bottom style="thin">
        <x:color rgb="FFD6DCE5"/>
      </x:bottom>
    </x:border>
    <x:border>
      <x:top style="thin">
        <x:color rgb="FFD6DCE5"/>
      </x:top>
    </x:border>
    <x:border>
      <x:left style="thin">
        <x:color rgb="FFD6DCE5"/>
      </x:left>
      <x:top style="thin">
        <x:color rgb="FFD6DCE5"/>
      </x:top>
    </x:border>
    <x:border>
      <x:right style="thin">
        <x:color rgb="FFD6DCE5"/>
      </x:right>
      <x:top style="thin">
        <x:color rgb="FFD6DCE5"/>
      </x:top>
    </x:border>
    <x:border>
      <x:left style="thin">
        <x:color rgb="FFD6DCE5"/>
      </x:left>
    </x:border>
    <x:border>
      <x:right style="thin">
        <x:color rgb="FFD6DCE5"/>
      </x:right>
    </x:border>
    <x:border>
      <x:left style="thin">
        <x:color rgb="FFD6DCE5"/>
      </x:left>
      <x:bottom style="thin">
        <x:color rgb="FFD6DCE5"/>
      </x:bottom>
    </x:border>
    <x:border>
      <x:right style="thin">
        <x:color rgb="FFD6DCE5"/>
      </x:right>
      <x:bottom style="thin">
        <x:color rgb="FFD6DCE5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5" fillId="5" borderId="6" xfId="0" applyNumberFormat="1" applyFont="1" applyFill="1" applyBorder="1"/>
    <x:xf numFmtId="0" fontId="6" fillId="5" borderId="8" xfId="0" applyNumberFormat="1" applyFont="1" applyFill="1" applyBorder="1"/>
    <x:xf numFmtId="0" fontId="6" fillId="5" borderId="8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5" fillId="3" borderId="6" xfId="0" applyNumberFormat="1" applyFont="1" applyFill="1" applyBorder="1"/>
    <x:xf numFmtId="0" fontId="6" fillId="3" borderId="8" xfId="0" applyNumberFormat="1" applyFont="1" applyFill="1" applyBorder="1"/>
    <x:xf numFmtId="0" fontId="6" fillId="3" borderId="8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6" xfId="0" applyNumberFormat="1" applyFont="1" applyFill="1" applyBorder="1"/>
    <x:xf numFmtId="0" fontId="8" fillId="3" borderId="5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10" xfId="0" applyNumberFormat="1" applyFont="1" applyFill="1" applyBorder="1"/>
    <x:xf numFmtId="0" fontId="8" fillId="3" borderId="4" xfId="0" applyNumberFormat="1" applyFont="1" applyFill="1" applyBorder="1"/>
    <x:xf numFmtId="0" fontId="8" fillId="3" borderId="11" xfId="0" applyNumberFormat="1" applyFont="1" applyFill="1" applyBorder="1"/>
    <x:xf numFmtId="0" fontId="8" fillId="3" borderId="6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wrapText="1"/>
    </x:xf>
    <x:xf numFmtId="0" fontId="8" fillId="3" borderId="10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wrapText="1"/>
    </x:xf>
    <x:xf numFmtId="0" fontId="8" fillId="3" borderId="11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8" fillId="3" borderId="7" xfId="0" applyNumberFormat="1" applyFont="1" applyFill="1" applyBorder="1" applyAlignment="1">
      <x:alignment vertical="center" wrapText="1"/>
    </x:xf>
    <x:xf numFmtId="0" fontId="8" fillId="3" borderId="8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9" xfId="0" applyNumberFormat="1" applyFont="1" applyFill="1" applyBorder="1" applyAlignment="1">
      <x:alignment vertical="center" wrapText="1"/>
    </x:xf>
    <x:xf numFmtId="0" fontId="8" fillId="3" borderId="10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vertical="center" wrapText="1"/>
    </x:xf>
    <x:xf numFmtId="0" fontId="8" fillId="3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1" xfId="0" applyNumberFormat="1" applyFont="1" applyFill="1" applyBorder="1"/>
    <x:xf numFmtId="0" fontId="9" fillId="0" borderId="10" xfId="0" applyNumberFormat="1" applyFont="1" applyFill="1" applyBorder="1"/>
    <x:xf numFmtId="0" fontId="9" fillId="0" borderId="3" xfId="0" applyNumberFormat="1" applyFont="1" applyFill="1" applyBorder="1"/>
    <x:xf numFmtId="0" fontId="9" fillId="0" borderId="1" xfId="0" applyNumberFormat="1" applyFont="1" applyFill="1" applyBorder="1"/>
    <x:xf numFmtId="0" fontId="9" fillId="0" borderId="7" xfId="0" applyNumberFormat="1" applyFont="1" applyFill="1" applyBorder="1"/>
    <x:xf numFmtId="0" fontId="9" fillId="0" borderId="6" xfId="0" applyNumberFormat="1" applyFont="1" applyFill="1" applyBorder="1"/>
    <x:xf numFmtId="0" fontId="9" fillId="0" borderId="11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2" fillId="5" borderId="6" xfId="0" applyNumberFormat="1" applyFont="1" applyFill="1" applyBorder="1"/>
    <x:xf numFmtId="0" fontId="11" fillId="5" borderId="7" xfId="0" applyNumberFormat="1" applyFont="1" applyFill="1" applyBorder="1"/>
    <x:xf numFmtId="0" fontId="12" fillId="3" borderId="6" xfId="0" applyNumberFormat="1" applyFont="1" applyFill="1" applyBorder="1"/>
    <x:xf numFmtId="0" fontId="11" fillId="3" borderId="7" xfId="0" applyNumberFormat="1" applyFont="1" applyFill="1" applyBorder="1"/>
    <x:xf numFmtId="0" fontId="13" fillId="5" borderId="8" xfId="0" applyNumberFormat="1" applyFont="1" applyFill="1" applyBorder="1" applyAlignment="1">
      <x:alignment vertical="center"/>
    </x:xf>
    <x:xf numFmtId="0" fontId="11" fillId="5" borderId="9" xfId="0" applyNumberFormat="1" applyFont="1" applyFill="1" applyBorder="1"/>
    <x:xf numFmtId="0" fontId="13" fillId="3" borderId="8" xfId="0" applyNumberFormat="1" applyFont="1" applyFill="1" applyBorder="1" applyAlignment="1">
      <x:alignment vertical="center"/>
    </x:xf>
    <x:xf numFmtId="0" fontId="11" fillId="3" borderId="9" xfId="0" applyNumberFormat="1" applyFont="1" applyFill="1" applyBorder="1"/>
    <x:xf numFmtId="0" fontId="11" fillId="5" borderId="10" xfId="0" applyNumberFormat="1" applyFont="1" applyFill="1" applyBorder="1"/>
    <x:xf numFmtId="0" fontId="11" fillId="5" borderId="11" xfId="0" applyNumberFormat="1" applyFont="1" applyFill="1" applyBorder="1"/>
    <x:xf numFmtId="0" fontId="11" fillId="3" borderId="10" xfId="0" applyNumberFormat="1" applyFont="1" applyFill="1" applyBorder="1"/>
    <x:xf numFmtId="0" fontId="11" fillId="3" borderId="11" xfId="0" applyNumberFormat="1" applyFont="1" applyFill="1" applyBorder="1"/>
    <x:xf numFmtId="0" fontId="14" fillId="4" borderId="0" xfId="0" applyNumberFormat="1" applyFont="1" applyFill="1" applyBorder="1"/>
    <x:xf numFmtId="0" fontId="15" fillId="3" borderId="6" xfId="0" applyNumberFormat="1" applyFont="1" applyFill="1" applyBorder="1" applyAlignment="1">
      <x:alignment vertical="center" wrapText="1"/>
    </x:xf>
    <x:xf numFmtId="0" fontId="15" fillId="3" borderId="5" xfId="0" applyNumberFormat="1" applyFont="1" applyFill="1" applyBorder="1" applyAlignment="1">
      <x:alignment vertical="center" wrapText="1"/>
    </x:xf>
    <x:xf numFmtId="0" fontId="15" fillId="3" borderId="7" xfId="0" applyNumberFormat="1" applyFont="1" applyFill="1" applyBorder="1" applyAlignment="1">
      <x:alignment vertical="center" wrapText="1"/>
    </x:xf>
    <x:xf numFmtId="0" fontId="15" fillId="3" borderId="8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vertical="center" wrapText="1"/>
    </x:xf>
    <x:xf numFmtId="0" fontId="15" fillId="3" borderId="9" xfId="0" applyNumberFormat="1" applyFont="1" applyFill="1" applyBorder="1" applyAlignment="1">
      <x:alignment vertical="center" wrapText="1"/>
    </x:xf>
    <x:xf numFmtId="0" fontId="15" fillId="3" borderId="10" xfId="0" applyNumberFormat="1" applyFont="1" applyFill="1" applyBorder="1" applyAlignment="1">
      <x:alignment vertical="center" wrapText="1"/>
    </x:xf>
    <x:xf numFmtId="0" fontId="15" fillId="3" borderId="4" xfId="0" applyNumberFormat="1" applyFont="1" applyFill="1" applyBorder="1" applyAlignment="1">
      <x:alignment vertical="center" wrapText="1"/>
    </x:xf>
    <x:xf numFmtId="0" fontId="15" fillId="3" borderId="11" xfId="0" applyNumberFormat="1" applyFont="1" applyFill="1" applyBorder="1" applyAlignment="1">
      <x:alignment vertical="center" wrapText="1"/>
    </x:xf>
    <x:xf numFmtId="0" fontId="16" fillId="0" borderId="11" xfId="0" applyNumberFormat="1" applyFont="1" applyFill="1" applyBorder="1" applyAlignment="1">
      <x:alignment vertical="top" wrapText="1"/>
    </x:xf>
    <x:xf numFmtId="0" fontId="16" fillId="0" borderId="10" xfId="0" applyNumberFormat="1" applyFont="1" applyFill="1" applyBorder="1" applyAlignment="1">
      <x:alignment vertical="top" wrapText="1"/>
    </x:xf>
    <x:xf numFmtId="0" fontId="16" fillId="0" borderId="3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 applyAlignment="1">
      <x:alignment vertical="top" wrapText="1"/>
    </x:xf>
    <x:xf numFmtId="0" fontId="16" fillId="0" borderId="7" xfId="0" applyNumberFormat="1" applyFont="1" applyFill="1" applyBorder="1" applyAlignment="1">
      <x:alignment vertical="top" wrapText="1"/>
    </x:xf>
    <x:xf numFmtId="0" fontId="16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B1C1C"/>
      </x:font>
      <x:fill>
        <x:patternFill patternType="solid">
          <x:bgColor rgb="FFFEE2E2"/>
        </x:patternFill>
      </x:fill>
    </x:dxf>
    <x:dxf>
      <x:font>
        <x:b/>
        <x:color rgb="FF9B1C1C"/>
      </x:font>
      <x:fill>
        <x:patternFill patternType="solid">
          <x:bgColor rgb="FFFEE2E2"/>
        </x:patternFill>
      </x:fill>
    </x:dxf>
    <x:dxf>
      <x:font>
        <x:b/>
        <x:color rgb="FF8A5A00"/>
      </x:font>
      <x:fill>
        <x:patternFill patternType="solid">
          <x:bgColor rgb="FFFEF3C7"/>
        </x:patternFill>
      </x:fill>
    </x:dxf>
    <x:dxf>
      <x:font>
        <x:b/>
        <x:color rgb="FF8A5A00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B1C1C"/>
      </x:font>
      <x:fill>
        <x:patternFill patternType="solid">
          <x:bgColor rgb="FFFEE2E2"/>
        </x:patternFill>
      </x:fill>
    </x:dxf>
    <x:dxf>
      <x:font>
        <x:b/>
        <x:color rgb="FF9B1C1C"/>
      </x:font>
      <x:fill>
        <x:patternFill patternType="solid">
          <x:bgColor rgb="FFFEE2E2"/>
        </x:patternFill>
      </x:fill>
    </x:dxf>
    <x:dxf>
      <x:font>
        <x:b/>
        <x:color rgb="FF8A5A00"/>
      </x:font>
      <x:fill>
        <x:patternFill patternType="solid">
          <x:bgColor rgb="FFFEF3C7"/>
        </x:patternFill>
      </x:fill>
    </x:dxf>
    <x:dxf>
      <x:font>
        <x:b/>
        <x:color rgb="FF8A5A00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B1C1C"/>
      </x:font>
      <x:fill>
        <x:patternFill patternType="solid">
          <x:bgColor rgb="FFFEE2E2"/>
        </x:patternFill>
      </x:fill>
    </x:dxf>
    <x:dxf>
      <x:font>
        <x:b/>
        <x:color rgb="FF9B1C1C"/>
      </x:font>
      <x:fill>
        <x:patternFill patternType="solid">
          <x:bgColor rgb="FFFEE2E2"/>
        </x:patternFill>
      </x:fill>
    </x:dxf>
    <x:dxf>
      <x:font>
        <x:b/>
        <x:color rgb="FF8A5A00"/>
      </x:font>
      <x:fill>
        <x:patternFill patternType="solid">
          <x:bgColor rgb="FFFEF3C7"/>
        </x:patternFill>
      </x:fill>
    </x:dxf>
    <x:dxf>
      <x:font>
        <x:b/>
        <x:color rgb="FF8A5A00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B1C1C"/>
      </x:font>
      <x:fill>
        <x:patternFill patternType="solid">
          <x:bgColor rgb="FFFEE2E2"/>
        </x:patternFill>
      </x:fill>
    </x:dxf>
    <x:dxf>
      <x:font>
        <x:b/>
        <x:color rgb="FF9B1C1C"/>
      </x:font>
      <x:fill>
        <x:patternFill patternType="solid">
          <x:bgColor rgb="FFFEE2E2"/>
        </x:patternFill>
      </x:fill>
    </x:dxf>
    <x:dxf>
      <x:font>
        <x:b/>
        <x:color rgb="FF8A5A00"/>
      </x:font>
      <x:fill>
        <x:patternFill patternType="solid">
          <x:bgColor rgb="FFFEF3C7"/>
        </x:patternFill>
      </x:fill>
    </x:dxf>
    <x:dxf>
      <x:font>
        <x:b/>
        <x:color rgb="FF8A5A00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5d5e5402c4574" /><Relationship Type="http://schemas.openxmlformats.org/officeDocument/2006/relationships/theme" Target="/xl/theme/theme1.xml" Id="R0ed476f3ec744e16" /><Relationship Type="http://schemas.openxmlformats.org/officeDocument/2006/relationships/sharedStrings" Target="/xl/sharedStrings.xml" Id="R0b3d73ccba754de3" /><Relationship Type="http://schemas.openxmlformats.org/officeDocument/2006/relationships/worksheet" Target="/xl/worksheets/sheet1.xml" Id="R13f9a0f388124ad3" /><Relationship Type="http://schemas.openxmlformats.org/officeDocument/2006/relationships/worksheet" Target="/xl/worksheets/sheet2.xml" Id="R99b3d522e7704888" /><Relationship Type="http://schemas.openxmlformats.org/officeDocument/2006/relationships/worksheet" Target="/xl/worksheets/sheet3.xml" Id="Rf5c32bffb5a042aa" /><Relationship Type="http://schemas.openxmlformats.org/officeDocument/2006/relationships/worksheet" Target="/xl/worksheets/sheet4.xml" Id="R04171d917dea463d" /><Relationship Type="http://schemas.openxmlformats.org/officeDocument/2006/relationships/worksheet" Target="/xl/worksheets/sheet5.xml" Id="R1de23c51b1634392" /></Relationships>
</file>

<file path=xl/tables/table1.xml><?xml version="1.0" encoding="utf-8"?>
<x:table xmlns:x="http://schemas.openxmlformats.org/spreadsheetml/2006/main" id="1" name="QuestionnaireDraftTable" displayName="QuestionnaireDraftTable" ref="A5:H13" headerRowCount="1" totalsRowCount="0" totalsRowShown="0">
  <x:tableColumns count="8">
    <x:tableColumn id="1" name="Question ID"/>
    <x:tableColumn id="2" name="Category"/>
    <x:tableColumn id="3" name="Question"/>
    <x:tableColumn id="4" name="Status"/>
    <x:tableColumn id="5" name="Draft answer"/>
    <x:tableColumn id="6" name="Evidence IDs"/>
    <x:tableColumn id="7" name="Reason held"/>
    <x:tableColumn id="8" name="Next ste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rovedAnswerTable" displayName="ApprovedAnswerTable" ref="A5:H9" headerRowCount="1" totalsRowCount="0" totalsRowShown="0">
  <x:tableColumns count="8">
    <x:tableColumn id="1" name="Claim ID"/>
    <x:tableColumn id="2" name="Claim / topic"/>
    <x:tableColumn id="3" name="Approved answer"/>
    <x:tableColumn id="4" name="Evidence IDs"/>
    <x:tableColumn id="5" name="Evidence owners"/>
    <x:tableColumn id="6" name="Evidence current"/>
    <x:tableColumn id="7" name="Evidence expires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IndexTable" displayName="EvidenceIndexTable" ref="A5:G9" headerRowCount="1" totalsRowCount="0" totalsRowShown="0">
  <x:tableColumns count="7">
    <x:tableColumn id="1" name="Evidence ID"/>
    <x:tableColumn id="2" name="File"/>
    <x:tableColumn id="3" name="SHA-256"/>
    <x:tableColumn id="4" name="Status"/>
    <x:tableColumn id="5" name="Approved"/>
    <x:tableColumn id="6" name="Expires"/>
    <x:tableColumn id="7" name="Own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pRegisterTable" displayName="GapRegisterTable" ref="A5:E9" headerRowCount="1" totalsRowCount="0" totalsRowShown="0">
  <x:tableColumns count="5">
    <x:tableColumn id="1" name="Item"/>
    <x:tableColumn id="2" name="Question"/>
    <x:tableColumn id="3" name="Reason held"/>
    <x:tableColumn id="4" name="Next step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b45b0d580e4c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6a39cc44da44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f6327a89fa47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aa8589a9e84f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3" hidden="0" customWidth="1"/>
    <x:col min="4" max="4" width="15" hidden="0" customWidth="1"/>
    <x:col min="5" max="5" width="15" hidden="0" customWidth="1"/>
    <x:col min="6" max="6" width="3" hidden="0" customWidth="1"/>
    <x:col min="7" max="7" width="15" hidden="0" customWidth="1"/>
    <x:col min="8" max="8" width="15" hidden="0" customWidth="1"/>
  </x:cols>
  <x:sheetData>
    <x:row r="1" ht="28" customHeight="1">
      <x:c r="A1" s="95" t="str">
        <x:v>Northstar SaaS (Synthetic Example) Security Review</x:v>
      </x:c>
      <x:c r="B1" s="95"/>
      <x:c r="C1" s="95"/>
      <x:c r="D1" s="95"/>
      <x:c r="E1" s="95"/>
      <x:c r="F1" s="95"/>
      <x:c r="G1" s="95"/>
      <x:c r="H1" s="95"/>
    </x:row>
    <x:row r="2" ht="28" customHeight="1">
      <x:c r="A2" s="95"/>
      <x:c r="B2" s="95"/>
      <x:c r="C2" s="95"/>
      <x:c r="D2" s="95"/>
      <x:c r="E2" s="95"/>
      <x:c r="F2" s="95"/>
      <x:c r="G2" s="95"/>
      <x:c r="H2" s="95"/>
    </x:row>
    <x:row r="3" ht="24" customHeight="1">
      <x:c r="A3" s="7" t="str">
        <x:v>Local, evidence-linked draft. Every output requires customer verification before use.</x:v>
      </x:c>
      <x:c r="B3" s="7"/>
      <x:c r="C3" s="7"/>
      <x:c r="D3" s="7"/>
      <x:c r="E3" s="7"/>
      <x:c r="F3" s="7"/>
      <x:c r="G3" s="7"/>
      <x:c r="H3" s="7"/>
    </x:row>
    <x:row r="4">
      <x:c r="A4" s="96"/>
      <x:c r="B4" s="96"/>
      <x:c r="C4" s="96"/>
      <x:c r="D4" s="96"/>
      <x:c r="E4" s="96"/>
      <x:c r="F4" s="96"/>
      <x:c r="G4" s="96"/>
      <x:c r="H4" s="96"/>
    </x:row>
    <x:row r="5">
      <x:c r="A5" s="97" t="str">
        <x:v>Questionnaire items</x:v>
      </x:c>
      <x:c r="B5" s="98"/>
      <x:c r="C5" s="96"/>
      <x:c r="D5" s="99" t="str">
        <x:v>Evidence-linked drafts</x:v>
      </x:c>
      <x:c r="E5" s="100"/>
      <x:c r="F5" s="96"/>
      <x:c r="G5" s="97" t="str">
        <x:v>Held for review</x:v>
      </x:c>
      <x:c r="H5" s="98"/>
    </x:row>
    <x:row r="6">
      <x:c r="A6" s="101" t="n">
        <x:f>COUNTA('Questionnaire Draft'!A6:A13)</x:f>
        <x:v>8</x:v>
      </x:c>
      <x:c r="B6" s="102"/>
      <x:c r="C6" s="96"/>
      <x:c r="D6" s="103" t="n">
        <x:f>COUNTIF('Questionnaire Draft'!D6:D13,"approved")</x:f>
        <x:v>4</x:v>
      </x:c>
      <x:c r="E6" s="104"/>
      <x:c r="F6" s="96"/>
      <x:c r="G6" s="101" t="n">
        <x:f>COUNTIF('Questionnaire Draft'!D6:D13,"unsupported")+COUNTIF('Questionnaire Draft'!D6:D13,"conflicting")</x:f>
        <x:v>4</x:v>
      </x:c>
      <x:c r="H6" s="102"/>
    </x:row>
    <x:row r="7">
      <x:c r="A7" s="105"/>
      <x:c r="B7" s="106"/>
      <x:c r="C7" s="96"/>
      <x:c r="D7" s="107"/>
      <x:c r="E7" s="108"/>
      <x:c r="F7" s="96"/>
      <x:c r="G7" s="105"/>
      <x:c r="H7" s="106"/>
    </x:row>
    <x:row r="8">
      <x:c r="A8" s="96"/>
      <x:c r="B8" s="96"/>
      <x:c r="C8" s="96"/>
      <x:c r="D8" s="96"/>
      <x:c r="E8" s="96"/>
      <x:c r="F8" s="96"/>
      <x:c r="G8" s="96"/>
      <x:c r="H8" s="96"/>
    </x:row>
    <x:row r="9">
      <x:c r="A9" s="96"/>
      <x:c r="B9" s="96"/>
      <x:c r="C9" s="96"/>
      <x:c r="D9" s="96"/>
      <x:c r="E9" s="96"/>
      <x:c r="F9" s="96"/>
      <x:c r="G9" s="96"/>
      <x:c r="H9" s="96"/>
    </x:row>
    <x:row r="10">
      <x:c r="A10" s="109" t="str">
        <x:v>Fail-closed decision rule</x:v>
      </x:c>
      <x:c r="B10" s="109"/>
      <x:c r="C10" s="109"/>
      <x:c r="D10" s="109"/>
      <x:c r="E10" s="109"/>
      <x:c r="F10" s="109"/>
      <x:c r="G10" s="109"/>
      <x:c r="H10" s="109"/>
    </x:row>
    <x:row r="11">
      <x:c r="A11" s="110" t="str">
        <x:v>Only an explicitly approved claim with current, present, non-conflicting evidence may become a draft answer. Missing, expired, conflicting, or unsupported evidence is routed to the gap register. The tool never certifies compliance or submits a response.</x:v>
      </x:c>
      <x:c r="B11" s="111"/>
      <x:c r="C11" s="111"/>
      <x:c r="D11" s="111"/>
      <x:c r="E11" s="111"/>
      <x:c r="F11" s="111"/>
      <x:c r="G11" s="111"/>
      <x:c r="H11" s="112"/>
    </x:row>
    <x:row r="12">
      <x:c r="A12" s="113"/>
      <x:c r="B12" s="114"/>
      <x:c r="C12" s="114"/>
      <x:c r="D12" s="114"/>
      <x:c r="E12" s="114"/>
      <x:c r="F12" s="114"/>
      <x:c r="G12" s="114"/>
      <x:c r="H12" s="115"/>
    </x:row>
    <x:row r="13">
      <x:c r="A13" s="116"/>
      <x:c r="B13" s="117"/>
      <x:c r="C13" s="117"/>
      <x:c r="D13" s="117"/>
      <x:c r="E13" s="117"/>
      <x:c r="F13" s="117"/>
      <x:c r="G13" s="117"/>
      <x:c r="H13" s="118"/>
    </x:row>
    <x:row r="14">
      <x:c r="A14" s="96"/>
      <x:c r="B14" s="96"/>
      <x:c r="C14" s="96"/>
      <x:c r="D14" s="96"/>
      <x:c r="E14" s="96"/>
      <x:c r="F14" s="96"/>
      <x:c r="G14" s="96"/>
      <x:c r="H14" s="96"/>
    </x:row>
    <x:row r="15">
      <x:c r="A15" s="96"/>
      <x:c r="B15" s="96"/>
      <x:c r="C15" s="96"/>
      <x:c r="D15" s="96"/>
      <x:c r="E15" s="96"/>
      <x:c r="F15" s="96"/>
      <x:c r="G15" s="96"/>
      <x:c r="H15" s="96"/>
    </x:row>
    <x:row r="16" ht="28" customHeight="1">
      <x:c r="A16" s="16" t="str">
        <x:v>Run metadata</x:v>
      </x:c>
      <x:c r="B16" s="18" t="str">
        <x:v>Value</x:v>
      </x:c>
      <x:c r="C16" s="96"/>
      <x:c r="D16" s="96"/>
      <x:c r="E16" s="96"/>
      <x:c r="F16" s="96"/>
      <x:c r="G16" s="96"/>
      <x:c r="H16" s="96"/>
    </x:row>
    <x:row r="17">
      <x:c r="A17" s="119" t="str">
        <x:v>Profile</x:v>
      </x:c>
      <x:c r="B17" s="120" t="str">
        <x:v>northstar-saas-synthetic</x:v>
      </x:c>
      <x:c r="C17" s="96"/>
      <x:c r="D17" s="96"/>
      <x:c r="E17" s="96"/>
      <x:c r="F17" s="96"/>
      <x:c r="G17" s="96"/>
      <x:c r="H17" s="96"/>
    </x:row>
    <x:row r="18">
      <x:c r="A18" s="121" t="str">
        <x:v>Business type</x:v>
      </x:c>
      <x:c r="B18" s="122" t="str">
        <x:v>B2B SaaS</x:v>
      </x:c>
      <x:c r="C18" s="96"/>
      <x:c r="D18" s="96"/>
      <x:c r="E18" s="96"/>
      <x:c r="F18" s="96"/>
      <x:c r="G18" s="96"/>
      <x:c r="H18" s="96"/>
    </x:row>
    <x:row r="19">
      <x:c r="A19" s="121" t="str">
        <x:v>Review date</x:v>
      </x:c>
      <x:c r="B19" s="122" t="str">
        <x:v>2026-07-17</x:v>
      </x:c>
      <x:c r="C19" s="96"/>
      <x:c r="D19" s="96"/>
      <x:c r="E19" s="96"/>
      <x:c r="F19" s="96"/>
      <x:c r="G19" s="96"/>
      <x:c r="H19" s="96"/>
    </x:row>
    <x:row r="20">
      <x:c r="A20" s="121" t="str">
        <x:v>Scope</x:v>
      </x:c>
      <x:c r="B20" s="122" t="str">
        <x:v>Synthetic security questionnaire demonstration only</x:v>
      </x:c>
      <x:c r="C20" s="96"/>
      <x:c r="D20" s="96"/>
      <x:c r="E20" s="96"/>
      <x:c r="F20" s="96"/>
      <x:c r="G20" s="96"/>
      <x:c r="H20" s="96"/>
    </x:row>
    <x:row r="21">
      <x:c r="A21" s="123" t="str">
        <x:v>Data boundary</x:v>
      </x:c>
      <x:c r="B21" s="124" t="str">
        <x:v>Local files; no external upload</x:v>
      </x:c>
      <x:c r="C21" s="96"/>
      <x:c r="D21" s="96"/>
      <x:c r="E21" s="96"/>
      <x:c r="F21" s="96"/>
      <x:c r="G21" s="96"/>
      <x:c r="H21" s="96"/>
    </x:row>
  </x:sheetData>
  <x:mergeCells>
    <x:mergeCell ref="A1:H2"/>
    <x:mergeCell ref="A3:H3"/>
    <x:mergeCell ref="A5:B5"/>
    <x:mergeCell ref="A6:B7"/>
    <x:mergeCell ref="D5:E5"/>
    <x:mergeCell ref="D6:E7"/>
    <x:mergeCell ref="G5:H5"/>
    <x:mergeCell ref="G6:H7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48" hidden="0" customWidth="1"/>
    <x:col min="4" max="4" width="18" hidden="0" customWidth="1"/>
    <x:col min="5" max="5" width="52" hidden="0" customWidth="1"/>
    <x:col min="6" max="6" width="18" hidden="0" customWidth="1"/>
    <x:col min="7" max="7" width="35" hidden="0" customWidth="1"/>
    <x:col min="8" max="8" width="35" hidden="0" customWidth="1"/>
  </x:cols>
  <x:sheetData>
    <x:row r="1" ht="28" customHeight="1">
      <x:c r="A1" s="4" t="str">
        <x:v>Questionnaire Draft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7" t="str">
        <x:v>Answers are drafts only; verify every representation before sharing.</x:v>
      </x:c>
      <x:c r="B3" s="7"/>
      <x:c r="C3" s="7"/>
      <x:c r="D3" s="7"/>
      <x:c r="E3" s="7"/>
      <x:c r="F3" s="7"/>
      <x:c r="G3" s="7"/>
      <x:c r="H3" s="7"/>
    </x:row>
    <x:row r="5" ht="28" customHeight="1">
      <x:c r="A5" s="16" t="str">
        <x:v>Question ID</x:v>
      </x:c>
      <x:c r="B5" s="17" t="str">
        <x:v>Category</x:v>
      </x:c>
      <x:c r="C5" s="17" t="str">
        <x:v>Question</x:v>
      </x:c>
      <x:c r="D5" s="17" t="str">
        <x:v>Status</x:v>
      </x:c>
      <x:c r="E5" s="17" t="str">
        <x:v>Draft answer</x:v>
      </x:c>
      <x:c r="F5" s="17" t="str">
        <x:v>Evidence IDs</x:v>
      </x:c>
      <x:c r="G5" s="17" t="str">
        <x:v>Reason held</x:v>
      </x:c>
      <x:c r="H5" s="18" t="str">
        <x:v>Next step</x:v>
      </x:c>
    </x:row>
    <x:row r="6">
      <x:c r="A6" s="26" t="str">
        <x:v>NS-001</x:v>
      </x:c>
      <x:c r="B6" s="26" t="str">
        <x:v>Governance</x:v>
      </x:c>
      <x:c r="C6" s="26" t="str">
        <x:v>Does the organisation maintain a current, formally approved information security policy?</x:v>
      </x:c>
      <x:c r="D6" s="26" t="str">
        <x:v>approved</x:v>
      </x:c>
      <x:c r="E6" s="26" t="str">
        <x:v>Northstar maintains a formally approved information security policy that is reviewed at least annually.</x:v>
      </x:c>
      <x:c r="F6" s="26" t="str">
        <x:v>NS-EV-001</x:v>
      </x:c>
      <x:c r="G6" s="26" t="str"/>
      <x:c r="H6" s="26" t="str"/>
    </x:row>
    <x:row r="7">
      <x:c r="A7" s="27" t="str">
        <x:v>NS-002</x:v>
      </x:c>
      <x:c r="B7" s="27" t="str">
        <x:v>Access control</x:v>
      </x:c>
      <x:c r="C7" s="27" t="str">
        <x:v>Are privileged accounts protected by multi-factor authentication?</x:v>
      </x:c>
      <x:c r="D7" s="27" t="str">
        <x:v>approved</x:v>
      </x:c>
      <x:c r="E7" s="27" t="str">
        <x:v>All privileged accounts are protected by multi-factor authentication.</x:v>
      </x:c>
      <x:c r="F7" s="27" t="str">
        <x:v>NS-EV-002</x:v>
      </x:c>
      <x:c r="G7" s="27" t="str"/>
      <x:c r="H7" s="27" t="str"/>
    </x:row>
    <x:row r="8">
      <x:c r="A8" s="27" t="str">
        <x:v>NS-003</x:v>
      </x:c>
      <x:c r="B8" s="27" t="str">
        <x:v>Access control</x:v>
      </x:c>
      <x:c r="C8" s="27" t="str">
        <x:v>Are departing users' accounts disabled within 24 hours?</x:v>
      </x:c>
      <x:c r="D8" s="27" t="str">
        <x:v>approved</x:v>
      </x:c>
      <x:c r="E8" s="27" t="str">
        <x:v>Accounts belonging to departing users are disabled within 24 hours of the recorded departure time.</x:v>
      </x:c>
      <x:c r="F8" s="27" t="str">
        <x:v>NS-EV-002</x:v>
      </x:c>
      <x:c r="G8" s="27" t="str"/>
      <x:c r="H8" s="27" t="str"/>
    </x:row>
    <x:row r="9">
      <x:c r="A9" s="27" t="str">
        <x:v>NS-004</x:v>
      </x:c>
      <x:c r="B9" s="27" t="str">
        <x:v>Access control</x:v>
      </x:c>
      <x:c r="C9" s="27" t="str">
        <x:v>What inactivity timeout is enforced for administrator sessions?</x:v>
      </x:c>
      <x:c r="D9" s="27" t="str">
        <x:v>conflicting</x:v>
      </x:c>
      <x:c r="E9" s="27" t="str">
        <x:v>Needs customer confirmation</x:v>
      </x:c>
      <x:c r="F9" s="27" t="str">
        <x:v>NS-EV-001;NS-EV-002</x:v>
      </x:c>
      <x:c r="G9" s="27" t="str">
        <x:v>Available sources do not support one clear, current answer.</x:v>
      </x:c>
      <x:c r="H9" s="27" t="str">
        <x:v>Reconcile the available sources and confirm one current answer.</x:v>
      </x:c>
    </x:row>
    <x:row r="10">
      <x:c r="A10" s="27" t="str">
        <x:v>NS-005</x:v>
      </x:c>
      <x:c r="B10" s="27" t="str">
        <x:v>Incident response</x:v>
      </x:c>
      <x:c r="C10" s="27" t="str">
        <x:v>Does the organisation maintain a current, approved incident response plan?</x:v>
      </x:c>
      <x:c r="D10" s="27" t="str">
        <x:v>conflicting</x:v>
      </x:c>
      <x:c r="E10" s="27" t="str">
        <x:v>Needs customer confirmation</x:v>
      </x:c>
      <x:c r="F10" s="27" t="str">
        <x:v>NS-EV-003</x:v>
      </x:c>
      <x:c r="G10" s="27" t="str">
        <x:v>The supporting evidence is outdated or no longer approved.</x:v>
      </x:c>
      <x:c r="H10" s="27" t="str">
        <x:v>Replace or reapprove the outdated source, then confirm the answer.</x:v>
      </x:c>
    </x:row>
    <x:row r="11">
      <x:c r="A11" s="27" t="str">
        <x:v>NS-006</x:v>
      </x:c>
      <x:c r="B11" s="27" t="str">
        <x:v>Third-party risk</x:v>
      </x:c>
      <x:c r="C11" s="27" t="str">
        <x:v>Does the organisation maintain a current inventory of subprocessors and their processing purposes?</x:v>
      </x:c>
      <x:c r="D11" s="27" t="str">
        <x:v>approved</x:v>
      </x:c>
      <x:c r="E11" s="27" t="str">
        <x:v>Northstar maintains a current subprocessor register containing each provider's processing purpose and region.</x:v>
      </x:c>
      <x:c r="F11" s="27" t="str">
        <x:v>NS-EV-004</x:v>
      </x:c>
      <x:c r="G11" s="27" t="str"/>
      <x:c r="H11" s="27" t="str"/>
    </x:row>
    <x:row r="12">
      <x:c r="A12" s="27" t="str">
        <x:v>NS-007</x:v>
      </x:c>
      <x:c r="B12" s="27" t="str">
        <x:v>Assurance</x:v>
      </x:c>
      <x:c r="C12" s="27" t="str">
        <x:v>Has an independent penetration test been completed within the last 12 months?</x:v>
      </x:c>
      <x:c r="D12" s="27" t="str">
        <x:v>unsupported</x:v>
      </x:c>
      <x:c r="E12" s="27" t="str">
        <x:v>Needs customer confirmation</x:v>
      </x:c>
      <x:c r="F12" s="27" t="str"/>
      <x:c r="G12" s="27" t="str">
        <x:v>No approved, evidence-backed answer is available for this question.</x:v>
      </x:c>
      <x:c r="H12" s="27" t="str">
        <x:v>Provide and approve current evidence for this question.</x:v>
      </x:c>
    </x:row>
    <x:row r="13">
      <x:c r="A13" s="28" t="str">
        <x:v>NS-008</x:v>
      </x:c>
      <x:c r="B13" s="28" t="str">
        <x:v>Assurance</x:v>
      </x:c>
      <x:c r="C13" s="28" t="str">
        <x:v>Does the organisation hold a current SOC 2 Type II report?</x:v>
      </x:c>
      <x:c r="D13" s="28" t="str">
        <x:v>unsupported</x:v>
      </x:c>
      <x:c r="E13" s="28" t="str">
        <x:v>Needs customer confirmation</x:v>
      </x:c>
      <x:c r="F13" s="28" t="str"/>
      <x:c r="G13" s="28" t="str">
        <x:v>No approved, evidence-backed answer is available for this question.</x:v>
      </x:c>
      <x:c r="H13" s="28" t="str">
        <x:v>Provide and approve current evidence for this question.</x:v>
      </x:c>
    </x:row>
  </x:sheetData>
  <x:mergeCells>
    <x:mergeCell ref="A1:H2"/>
    <x:mergeCell ref="A3:H3"/>
  </x:mergeCells>
  <x:conditionalFormatting sqref="D6:D13">
    <x:cfRule type="containsText" dxfId="0" priority="1" operator="containsText" text="approved"/>
    <x:cfRule type="containsText" dxfId="1" priority="2" operator="containsText" text="expired"/>
    <x:cfRule type="containsText" dxfId="2" priority="3" operator="containsText" text="conflict"/>
    <x:cfRule type="containsText" dxfId="3" priority="4" operator="containsText" text="unsupported"/>
    <x:cfRule type="containsText" dxfId="4" priority="5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76b45b0d580e4c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52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6" hidden="0" customWidth="1"/>
  </x:cols>
  <x:sheetData>
    <x:row r="1" ht="28" customHeight="1">
      <x:c r="A1" s="4" t="str">
        <x:v>Approved Answer Library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7" t="str">
        <x:v>Reusable claims remain tied to evidence owners and the narrowest evidence-validity window.</x:v>
      </x:c>
      <x:c r="B3" s="7"/>
      <x:c r="C3" s="7"/>
      <x:c r="D3" s="7"/>
      <x:c r="E3" s="7"/>
      <x:c r="F3" s="7"/>
      <x:c r="G3" s="7"/>
      <x:c r="H3" s="7"/>
    </x:row>
    <x:row r="5" ht="28" customHeight="1">
      <x:c r="A5" s="16" t="str">
        <x:v>Claim ID</x:v>
      </x:c>
      <x:c r="B5" s="17" t="str">
        <x:v>Claim / topic</x:v>
      </x:c>
      <x:c r="C5" s="17" t="str">
        <x:v>Approved answer</x:v>
      </x:c>
      <x:c r="D5" s="17" t="str">
        <x:v>Evidence IDs</x:v>
      </x:c>
      <x:c r="E5" s="17" t="str">
        <x:v>Evidence owners</x:v>
      </x:c>
      <x:c r="F5" s="17" t="str">
        <x:v>Evidence current</x:v>
      </x:c>
      <x:c r="G5" s="17" t="str">
        <x:v>Evidence expires</x:v>
      </x:c>
      <x:c r="H5" s="18" t="str">
        <x:v>Status</x:v>
      </x:c>
    </x:row>
    <x:row r="6">
      <x:c r="A6" s="26" t="str">
        <x:v>departing-user-disablement</x:v>
      </x:c>
      <x:c r="B6" s="26" t="str">
        <x:v>Departing user account disablement</x:v>
      </x:c>
      <x:c r="C6" s="26" t="str">
        <x:v>Accounts belonging to departing users are disabled within 24 hours of the recorded departure time.</x:v>
      </x:c>
      <x:c r="D6" s="26" t="str">
        <x:v>NS-EV-002</x:v>
      </x:c>
      <x:c r="E6" s="26" t="str">
        <x:v>Synthetic Platform Owner</x:v>
      </x:c>
      <x:c r="F6" s="26" t="str">
        <x:v>2026-06-10</x:v>
      </x:c>
      <x:c r="G6" s="26" t="str">
        <x:v>2027-06-10</x:v>
      </x:c>
      <x:c r="H6" s="26" t="str">
        <x:v>approved</x:v>
      </x:c>
    </x:row>
    <x:row r="7">
      <x:c r="A7" s="27" t="str">
        <x:v>privileged-mfa</x:v>
      </x:c>
      <x:c r="B7" s="27" t="str">
        <x:v>Privileged account multi-factor authentication</x:v>
      </x:c>
      <x:c r="C7" s="27" t="str">
        <x:v>All privileged accounts are protected by multi-factor authentication.</x:v>
      </x:c>
      <x:c r="D7" s="27" t="str">
        <x:v>NS-EV-002</x:v>
      </x:c>
      <x:c r="E7" s="27" t="str">
        <x:v>Synthetic Platform Owner</x:v>
      </x:c>
      <x:c r="F7" s="27" t="str">
        <x:v>2026-06-10</x:v>
      </x:c>
      <x:c r="G7" s="27" t="str">
        <x:v>2027-06-10</x:v>
      </x:c>
      <x:c r="H7" s="27" t="str">
        <x:v>approved</x:v>
      </x:c>
    </x:row>
    <x:row r="8">
      <x:c r="A8" s="27" t="str">
        <x:v>security-policy-current</x:v>
      </x:c>
      <x:c r="B8" s="27" t="str">
        <x:v>Current information security policy</x:v>
      </x:c>
      <x:c r="C8" s="27" t="str">
        <x:v>Northstar maintains a formally approved information security policy that is reviewed at least annually.</x:v>
      </x:c>
      <x:c r="D8" s="27" t="str">
        <x:v>NS-EV-001</x:v>
      </x:c>
      <x:c r="E8" s="27" t="str">
        <x:v>Synthetic Security Lead</x:v>
      </x:c>
      <x:c r="F8" s="27" t="str">
        <x:v>2026-05-15</x:v>
      </x:c>
      <x:c r="G8" s="27" t="str">
        <x:v>2027-05-15</x:v>
      </x:c>
      <x:c r="H8" s="27" t="str">
        <x:v>approved</x:v>
      </x:c>
    </x:row>
    <x:row r="9">
      <x:c r="A9" s="28" t="str">
        <x:v>subprocessor-register-current</x:v>
      </x:c>
      <x:c r="B9" s="28" t="str">
        <x:v>Current subprocessor register</x:v>
      </x:c>
      <x:c r="C9" s="28" t="str">
        <x:v>Northstar maintains a current subprocessor register containing each provider's processing purpose and region.</x:v>
      </x:c>
      <x:c r="D9" s="28" t="str">
        <x:v>NS-EV-004</x:v>
      </x:c>
      <x:c r="E9" s="28" t="str">
        <x:v>Synthetic Privacy Owner</x:v>
      </x:c>
      <x:c r="F9" s="28" t="str">
        <x:v>2026-07-01</x:v>
      </x:c>
      <x:c r="G9" s="28" t="str">
        <x:v>2027-07-01</x:v>
      </x:c>
      <x:c r="H9" s="28" t="str">
        <x:v>approved</x:v>
      </x:c>
    </x:row>
  </x:sheetData>
  <x:mergeCells>
    <x:mergeCell ref="A1:H2"/>
    <x:mergeCell ref="A3:H3"/>
  </x:mergeCells>
  <x:conditionalFormatting sqref="H6:H9">
    <x:cfRule type="containsText" dxfId="5" priority="1" operator="containsText" text="approved"/>
    <x:cfRule type="containsText" dxfId="6" priority="2" operator="containsText" text="expired"/>
    <x:cfRule type="containsText" dxfId="7" priority="3" operator="containsText" text="conflict"/>
    <x:cfRule type="containsText" dxfId="8" priority="4" operator="containsText" text="unsupported"/>
    <x:cfRule type="containsText" dxfId="9" priority="5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526a39cc44da44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32" hidden="0" customWidth="1"/>
    <x:col min="4" max="4" width="16" hidden="0" customWidth="1"/>
    <x:col min="5" max="5" width="14" hidden="0" customWidth="1"/>
    <x:col min="6" max="6" width="14" hidden="0" customWidth="1"/>
    <x:col min="7" max="7" width="24" hidden="0" customWidth="1"/>
  </x:cols>
  <x:sheetData>
    <x:row r="1" ht="28" customHeight="1">
      <x:c r="A1" s="4" t="str">
        <x:v>Evidence Index</x:v>
      </x:c>
      <x:c r="B1" s="4"/>
      <x:c r="C1" s="4"/>
      <x:c r="D1" s="4"/>
      <x:c r="E1" s="4"/>
      <x:c r="F1" s="4"/>
      <x:c r="G1" s="4"/>
    </x:row>
    <x:row r="2" ht="28" customHeight="1">
      <x:c r="A2" s="4"/>
      <x:c r="B2" s="4"/>
      <x:c r="C2" s="4"/>
      <x:c r="D2" s="4"/>
      <x:c r="E2" s="4"/>
      <x:c r="F2" s="4"/>
      <x:c r="G2" s="4"/>
    </x:row>
    <x:row r="3" ht="24" customHeight="1">
      <x:c r="A3" s="7" t="str">
        <x:v>Local files are inventoried with approval metadata and SHA-256 hashes.</x:v>
      </x:c>
      <x:c r="B3" s="7"/>
      <x:c r="C3" s="7"/>
      <x:c r="D3" s="7"/>
      <x:c r="E3" s="7"/>
      <x:c r="F3" s="7"/>
      <x:c r="G3" s="7"/>
    </x:row>
    <x:row r="5" ht="28" customHeight="1">
      <x:c r="A5" s="16" t="str">
        <x:v>Evidence ID</x:v>
      </x:c>
      <x:c r="B5" s="17" t="str">
        <x:v>File</x:v>
      </x:c>
      <x:c r="C5" s="17" t="str">
        <x:v>SHA-256</x:v>
      </x:c>
      <x:c r="D5" s="17" t="str">
        <x:v>Status</x:v>
      </x:c>
      <x:c r="E5" s="17" t="str">
        <x:v>Approved</x:v>
      </x:c>
      <x:c r="F5" s="17" t="str">
        <x:v>Expires</x:v>
      </x:c>
      <x:c r="G5" s="18" t="str">
        <x:v>Owner</x:v>
      </x:c>
    </x:row>
    <x:row r="6">
      <x:c r="A6" s="26" t="str">
        <x:v>NS-EV-002</x:v>
      </x:c>
      <x:c r="B6" s="26" t="str">
        <x:v>access_control.md</x:v>
      </x:c>
      <x:c r="C6" s="26" t="str">
        <x:v>653f3e547b10b66fffcda678d809fee9af51f6b6f811d7c6e7509307f81aba7e</x:v>
      </x:c>
      <x:c r="D6" s="26" t="str">
        <x:v>current</x:v>
      </x:c>
      <x:c r="E6" s="26" t="str">
        <x:v>2026-06-10</x:v>
      </x:c>
      <x:c r="F6" s="26" t="str">
        <x:v>2027-06-10</x:v>
      </x:c>
      <x:c r="G6" s="26" t="str">
        <x:v>Synthetic Platform Owner</x:v>
      </x:c>
    </x:row>
    <x:row r="7">
      <x:c r="A7" s="27" t="str">
        <x:v>NS-EV-003</x:v>
      </x:c>
      <x:c r="B7" s="27" t="str">
        <x:v>incident_response.md</x:v>
      </x:c>
      <x:c r="C7" s="27" t="str">
        <x:v>91cda035bbc61a98f4b2b98a72c12080e48a1458e57b859b6dceeab983130875</x:v>
      </x:c>
      <x:c r="D7" s="27" t="str">
        <x:v>expired</x:v>
      </x:c>
      <x:c r="E7" s="27" t="str">
        <x:v>2024-01-15</x:v>
      </x:c>
      <x:c r="F7" s="27" t="str">
        <x:v>2025-01-15</x:v>
      </x:c>
      <x:c r="G7" s="27" t="str">
        <x:v>Synthetic Incident Coordinator</x:v>
      </x:c>
    </x:row>
    <x:row r="8">
      <x:c r="A8" s="27" t="str">
        <x:v>NS-EV-001</x:v>
      </x:c>
      <x:c r="B8" s="27" t="str">
        <x:v>security_policy.md</x:v>
      </x:c>
      <x:c r="C8" s="27" t="str">
        <x:v>e81599d36ebd4982f41f7b577e0a4491f2b3d1984b49e20b2a736ea58c732300</x:v>
      </x:c>
      <x:c r="D8" s="27" t="str">
        <x:v>current</x:v>
      </x:c>
      <x:c r="E8" s="27" t="str">
        <x:v>2026-05-15</x:v>
      </x:c>
      <x:c r="F8" s="27" t="str">
        <x:v>2027-05-15</x:v>
      </x:c>
      <x:c r="G8" s="27" t="str">
        <x:v>Synthetic Security Lead</x:v>
      </x:c>
    </x:row>
    <x:row r="9">
      <x:c r="A9" s="28" t="str">
        <x:v>NS-EV-004</x:v>
      </x:c>
      <x:c r="B9" s="28" t="str">
        <x:v>subprocessors.md</x:v>
      </x:c>
      <x:c r="C9" s="28" t="str">
        <x:v>891b78915a6db6fd8475d1e9923b2a441e3bd43b9a5bddbe2dd6182a95b66e0b</x:v>
      </x:c>
      <x:c r="D9" s="28" t="str">
        <x:v>current</x:v>
      </x:c>
      <x:c r="E9" s="28" t="str">
        <x:v>2026-07-01</x:v>
      </x:c>
      <x:c r="F9" s="28" t="str">
        <x:v>2027-07-01</x:v>
      </x:c>
      <x:c r="G9" s="28" t="str">
        <x:v>Synthetic Privacy Owner</x:v>
      </x:c>
    </x:row>
  </x:sheetData>
  <x:mergeCells>
    <x:mergeCell ref="A1:G2"/>
    <x:mergeCell ref="A3:G3"/>
  </x:mergeCells>
  <x:conditionalFormatting sqref="D6:D9">
    <x:cfRule type="containsText" dxfId="10" priority="1" operator="containsText" text="approved"/>
    <x:cfRule type="containsText" dxfId="11" priority="2" operator="containsText" text="expired"/>
    <x:cfRule type="containsText" dxfId="12" priority="3" operator="containsText" text="conflict"/>
    <x:cfRule type="containsText" dxfId="13" priority="4" operator="containsText" text="unsupported"/>
    <x:cfRule type="containsText" dxfId="14" priority="5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84f6327a89fa47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28" customHeight="1">
      <x:c r="A1" s="4" t="str">
        <x:v>Unsupported and Conflicting Claims</x:v>
      </x:c>
      <x:c r="B1" s="4"/>
      <x:c r="C1" s="4"/>
      <x:c r="D1" s="4"/>
      <x:c r="E1" s="4"/>
    </x:row>
    <x:row r="2" ht="28" customHeight="1">
      <x:c r="A2" s="4"/>
      <x:c r="B2" s="4"/>
      <x:c r="C2" s="4"/>
      <x:c r="D2" s="4"/>
      <x:c r="E2" s="4"/>
    </x:row>
    <x:row r="3" ht="24" customHeight="1">
      <x:c r="A3" s="7" t="str">
        <x:v>These items were deliberately withheld from the draft and require human action.</x:v>
      </x:c>
      <x:c r="B3" s="7"/>
      <x:c r="C3" s="7"/>
      <x:c r="D3" s="7"/>
      <x:c r="E3" s="7"/>
    </x:row>
    <x:row r="5" ht="28" customHeight="1">
      <x:c r="A5" s="16" t="str">
        <x:v>Item</x:v>
      </x:c>
      <x:c r="B5" s="17" t="str">
        <x:v>Question</x:v>
      </x:c>
      <x:c r="C5" s="17" t="str">
        <x:v>Reason held</x:v>
      </x:c>
      <x:c r="D5" s="17" t="str">
        <x:v>Next step</x:v>
      </x:c>
      <x:c r="E5" s="18" t="str">
        <x:v>Status</x:v>
      </x:c>
    </x:row>
    <x:row r="6">
      <x:c r="A6" s="26" t="str">
        <x:v>NS-004</x:v>
      </x:c>
      <x:c r="B6" s="26" t="str">
        <x:v>What inactivity timeout is enforced for administrator sessions?</x:v>
      </x:c>
      <x:c r="C6" s="26" t="str">
        <x:v>Available sources do not support one clear, current answer.</x:v>
      </x:c>
      <x:c r="D6" s="26" t="str">
        <x:v>Reconcile the available sources and confirm one current answer.</x:v>
      </x:c>
      <x:c r="E6" s="26" t="str">
        <x:v>conflicting</x:v>
      </x:c>
    </x:row>
    <x:row r="7">
      <x:c r="A7" s="27" t="str">
        <x:v>NS-005</x:v>
      </x:c>
      <x:c r="B7" s="27" t="str">
        <x:v>Does the organisation maintain a current, approved incident response plan?</x:v>
      </x:c>
      <x:c r="C7" s="27" t="str">
        <x:v>The supporting evidence is outdated or no longer approved.</x:v>
      </x:c>
      <x:c r="D7" s="27" t="str">
        <x:v>Replace or reapprove the outdated source, then confirm the answer.</x:v>
      </x:c>
      <x:c r="E7" s="27" t="str">
        <x:v>conflicting</x:v>
      </x:c>
    </x:row>
    <x:row r="8">
      <x:c r="A8" s="27" t="str">
        <x:v>NS-007</x:v>
      </x:c>
      <x:c r="B8" s="27" t="str">
        <x:v>Has an independent penetration test been completed within the last 12 months?</x:v>
      </x:c>
      <x:c r="C8" s="27" t="str">
        <x:v>No approved, evidence-backed answer is available for this question.</x:v>
      </x:c>
      <x:c r="D8" s="27" t="str">
        <x:v>Provide and approve current evidence for this question.</x:v>
      </x:c>
      <x:c r="E8" s="27" t="str">
        <x:v>unsupported</x:v>
      </x:c>
    </x:row>
    <x:row r="9">
      <x:c r="A9" s="28" t="str">
        <x:v>NS-008</x:v>
      </x:c>
      <x:c r="B9" s="28" t="str">
        <x:v>Does the organisation hold a current SOC 2 Type II report?</x:v>
      </x:c>
      <x:c r="C9" s="28" t="str">
        <x:v>No approved, evidence-backed answer is available for this question.</x:v>
      </x:c>
      <x:c r="D9" s="28" t="str">
        <x:v>Provide and approve current evidence for this question.</x:v>
      </x:c>
      <x:c r="E9" s="28" t="str">
        <x:v>unsupported</x:v>
      </x:c>
    </x:row>
  </x:sheetData>
  <x:mergeCells>
    <x:mergeCell ref="A1:E2"/>
    <x:mergeCell ref="A3:E3"/>
  </x:mergeCells>
  <x:conditionalFormatting sqref="E6:E9">
    <x:cfRule type="containsText" dxfId="15" priority="1" operator="containsText" text="approved"/>
    <x:cfRule type="containsText" dxfId="16" priority="2" operator="containsText" text="expired"/>
    <x:cfRule type="containsText" dxfId="17" priority="3" operator="containsText" text="conflict"/>
    <x:cfRule type="containsText" dxfId="18" priority="4" operator="containsText" text="unsupported"/>
    <x:cfRule type="containsText" dxfId="19" priority="5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9eaa8589a9e84fc3"/>
  </x:tableParts>
</x:worksheet>
</file>